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u\Documents\ProCaliber Tech\Job Order - Cost Calculations\"/>
    </mc:Choice>
  </mc:AlternateContent>
  <xr:revisionPtr revIDLastSave="0" documentId="13_ncr:1_{97FA3528-F3E5-40A4-8E90-CCD2FC064A9C}" xr6:coauthVersionLast="47" xr6:coauthVersionMax="47" xr10:uidLastSave="{00000000-0000-0000-0000-000000000000}"/>
  <bookViews>
    <workbookView xWindow="-108" yWindow="-108" windowWidth="23256" windowHeight="12456" tabRatio="594" xr2:uid="{00000000-000D-0000-FFFF-FFFF00000000}"/>
  </bookViews>
  <sheets>
    <sheet name="tube" sheetId="4" r:id="rId1"/>
    <sheet name="Sheet2" sheetId="11" r:id="rId2"/>
    <sheet name="Sheet1" sheetId="10" state="hidden" r:id="rId3"/>
  </sheets>
  <definedNames>
    <definedName name="_xlnm._FilterDatabase" localSheetId="0" hidden="1">tube!$A$1:$AQ$4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4" l="1"/>
  <c r="AK4" i="4"/>
  <c r="AJ12" i="4"/>
  <c r="AJ10" i="4"/>
  <c r="AJ8" i="4"/>
  <c r="AJ6" i="4"/>
  <c r="AG12" i="4"/>
  <c r="AG10" i="4"/>
  <c r="AG8" i="4"/>
  <c r="AG6" i="4"/>
  <c r="AJ4" i="4"/>
  <c r="AG4" i="4"/>
  <c r="AI12" i="4"/>
  <c r="AI10" i="4"/>
  <c r="AI8" i="4"/>
  <c r="AI6" i="4"/>
  <c r="AI4" i="4"/>
  <c r="AF12" i="4"/>
  <c r="AF10" i="4"/>
  <c r="AF8" i="4"/>
  <c r="AF6" i="4"/>
  <c r="AF4" i="4"/>
  <c r="Z12" i="4"/>
  <c r="W12" i="4"/>
  <c r="V12" i="4"/>
  <c r="Z10" i="4"/>
  <c r="W10" i="4"/>
  <c r="V10" i="4"/>
  <c r="Z8" i="4"/>
  <c r="W8" i="4"/>
  <c r="V8" i="4"/>
  <c r="Z6" i="4"/>
  <c r="W6" i="4"/>
  <c r="V6" i="4"/>
  <c r="Y6" i="4" s="1"/>
  <c r="Z4" i="4"/>
  <c r="AO12" i="4" l="1"/>
  <c r="Y12" i="4"/>
  <c r="AK12" i="4" s="1"/>
  <c r="AO10" i="4"/>
  <c r="AK6" i="4"/>
  <c r="AL6" i="4" s="1"/>
  <c r="Y10" i="4"/>
  <c r="AK10" i="4" s="1"/>
  <c r="AO8" i="4"/>
  <c r="Y8" i="4"/>
  <c r="AK8" i="4" s="1"/>
  <c r="AO6" i="4"/>
  <c r="V4" i="4"/>
  <c r="W4" i="4"/>
  <c r="AL12" i="4" l="1"/>
  <c r="AR12" i="4"/>
  <c r="AN12" i="4"/>
  <c r="AM12" i="4"/>
  <c r="AM6" i="4"/>
  <c r="AN6" i="4"/>
  <c r="AQ6" i="4" s="1"/>
  <c r="AL10" i="4"/>
  <c r="AR10" i="4"/>
  <c r="AN10" i="4"/>
  <c r="AM10" i="4"/>
  <c r="AL8" i="4"/>
  <c r="AR8" i="4"/>
  <c r="AN8" i="4"/>
  <c r="AM8" i="4"/>
  <c r="AR6" i="4"/>
  <c r="AO4" i="4"/>
  <c r="AP6" i="4" l="1"/>
  <c r="AS6" i="4" s="1"/>
  <c r="AT6" i="4" s="1"/>
  <c r="AQ10" i="4"/>
  <c r="AQ12" i="4"/>
  <c r="AP12" i="4"/>
  <c r="AS12" i="4" s="1"/>
  <c r="AT12" i="4" s="1"/>
  <c r="AP10" i="4"/>
  <c r="AS10" i="4" s="1"/>
  <c r="AT10" i="4" s="1"/>
  <c r="AQ8" i="4"/>
  <c r="AP8" i="4"/>
  <c r="AS8" i="4" s="1"/>
  <c r="AT8" i="4" s="1"/>
  <c r="Y4" i="4"/>
  <c r="AL4" i="4" l="1"/>
  <c r="AM4" i="4"/>
  <c r="AN4" i="4"/>
  <c r="AR4" i="4"/>
  <c r="AS4" i="4" l="1"/>
  <c r="AT4" i="4" s="1"/>
  <c r="AQ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PRODUCTION13</author>
  </authors>
  <commentList>
    <comment ref="AO2" authorId="0" shapeId="0" xr:uid="{9294A2E1-ABF0-402A-A180-B76B2B382420}">
      <text>
        <r>
          <rPr>
            <b/>
            <sz val="9"/>
            <color indexed="81"/>
            <rFont val="Tahoma"/>
            <family val="2"/>
          </rPr>
          <t>Should include, if high volume scrap comes.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<sst xmlns="http://schemas.openxmlformats.org/spreadsheetml/2006/main" count="132" uniqueCount="82">
  <si>
    <t>S.no</t>
  </si>
  <si>
    <t>-</t>
  </si>
  <si>
    <t>Part View</t>
  </si>
  <si>
    <t>Description</t>
  </si>
  <si>
    <t>INR</t>
  </si>
  <si>
    <t>If Scrap return</t>
  </si>
  <si>
    <t>Fixt</t>
  </si>
  <si>
    <t>Set</t>
  </si>
  <si>
    <t>Mill</t>
  </si>
  <si>
    <t>Date</t>
  </si>
  <si>
    <t>Material to be considered</t>
  </si>
  <si>
    <t>Process Flow</t>
  </si>
  <si>
    <t>Material specified in drawing</t>
  </si>
  <si>
    <t>VMC</t>
  </si>
  <si>
    <t>Remarks</t>
  </si>
  <si>
    <t>Batch QTY</t>
  </si>
  <si>
    <t>Rev.No</t>
  </si>
  <si>
    <t>Raw material Cost</t>
  </si>
  <si>
    <t>Turning</t>
  </si>
  <si>
    <t>Drawing number</t>
  </si>
  <si>
    <t>SS 304</t>
  </si>
  <si>
    <t>Finished weight (Kg)</t>
  </si>
  <si>
    <t>Price Breakup details</t>
  </si>
  <si>
    <t>Process details</t>
  </si>
  <si>
    <t>Part details</t>
  </si>
  <si>
    <t>Length (mm)</t>
  </si>
  <si>
    <t>width (mm)</t>
  </si>
  <si>
    <t>Thickness (mm)</t>
  </si>
  <si>
    <t>Density (Kg/m3)</t>
  </si>
  <si>
    <t>RM</t>
  </si>
  <si>
    <t>FS</t>
  </si>
  <si>
    <t>Material size</t>
  </si>
  <si>
    <t>Set / CT</t>
  </si>
  <si>
    <t>Tot</t>
  </si>
  <si>
    <t>Coating / Painting details</t>
  </si>
  <si>
    <t>Outer Diameter (mm)</t>
  </si>
  <si>
    <t>Inner Diameter (mm)</t>
  </si>
  <si>
    <t xml:space="preserve"> QTY / Frame</t>
  </si>
  <si>
    <t>Inspection cost (5%)</t>
  </si>
  <si>
    <t>Int/ Ext Transport cost (3%)</t>
  </si>
  <si>
    <t>If any special packing required (5%)</t>
  </si>
  <si>
    <t>Develop part cost + 
15% OHC</t>
  </si>
  <si>
    <t>After 1st part cost + 15% OHC</t>
  </si>
  <si>
    <t>TUBE</t>
  </si>
  <si>
    <t>OD</t>
  </si>
  <si>
    <t>ID</t>
  </si>
  <si>
    <t>LEN</t>
  </si>
  <si>
    <t>QTY</t>
  </si>
  <si>
    <t>PLATE</t>
  </si>
  <si>
    <t>DESCRIP</t>
  </si>
  <si>
    <t>MAT</t>
  </si>
  <si>
    <t>S.NO</t>
  </si>
  <si>
    <t>THICK</t>
  </si>
  <si>
    <t>`</t>
  </si>
  <si>
    <t>CUT + TURN</t>
  </si>
  <si>
    <t>Vendor price</t>
  </si>
  <si>
    <t>MS</t>
  </si>
  <si>
    <t>YP00013614-BSP-001</t>
  </si>
  <si>
    <t>Expansion Tank Inch BSP Bush</t>
  </si>
  <si>
    <t>YP00013614-BSP-002</t>
  </si>
  <si>
    <t>YP00013614-BSP-003</t>
  </si>
  <si>
    <t>YP00013614-BSP-004</t>
  </si>
  <si>
    <t>Expansion Tank M22 Bush</t>
  </si>
  <si>
    <t>Expansion Tank asp Bush</t>
  </si>
  <si>
    <t>Expansion Tank MS "ate</t>
  </si>
  <si>
    <t>Motorrod template</t>
  </si>
  <si>
    <t>CUT + TURN+MIL</t>
  </si>
  <si>
    <t>CNC Machining Cost / Hour</t>
  </si>
  <si>
    <t>VMC Machining Cost / Hour</t>
  </si>
  <si>
    <t>VMC Hours/piece</t>
  </si>
  <si>
    <t>VMC Setting hours</t>
  </si>
  <si>
    <t>CNC Hours/piece</t>
  </si>
  <si>
    <t>CNC Setting hours</t>
  </si>
  <si>
    <t>RM Price / KG</t>
  </si>
  <si>
    <t>RM Cost / Piece</t>
  </si>
  <si>
    <t>RM Weight/piece (kg)</t>
  </si>
  <si>
    <t>Cutting cost / piece</t>
  </si>
  <si>
    <t>Subtotal: 
Cost / Piece</t>
  </si>
  <si>
    <t xml:space="preserve">ProCaliber Price </t>
  </si>
  <si>
    <t>Total Cost for all pieces (Dev + Prod cost)</t>
  </si>
  <si>
    <t>Cost / Piece</t>
  </si>
  <si>
    <t>Prod Cost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</si>
</sst>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₹&quot;\ #,##0.00"/>
  </numFmts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name val="Geneva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9" fillId="6" borderId="0" applyNumberFormat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</cellXfs>
  <cellStyles count="3">
    <cellStyle name="60% - Accent1 2" xfId="2" xr:uid="{E8112EC5-89F7-4E06-B8F9-34AEA1E59190}"/>
    <cellStyle name="Normal" xfId="0" builtinId="0"/>
    <cellStyle name="Normal 2" xfId="1" xr:uid="{AA9D58B3-7983-4143-8B5A-9891617FE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168088</xdr:colOff>
      <xdr:row>2</xdr:row>
      <xdr:rowOff>493059</xdr:rowOff>
    </xdr:from>
    <xdr:to>
      <xdr:col>5</xdr:col>
      <xdr:colOff>1456765</xdr:colOff>
      <xdr:row>4</xdr:row>
      <xdr:rowOff>641117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ED802-90D3-5AB6-5F0B-CDC7EFDA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4353" y="1647265"/>
          <a:ext cx="1288677" cy="1369499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224117</xdr:colOff>
      <xdr:row>5</xdr:row>
      <xdr:rowOff>22413</xdr:rowOff>
    </xdr:from>
    <xdr:to>
      <xdr:col>5</xdr:col>
      <xdr:colOff>1602440</xdr:colOff>
      <xdr:row>7</xdr:row>
      <xdr:rowOff>1529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5D5E83-79F8-B247-AC5A-B8D173F5D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0382" y="3092825"/>
          <a:ext cx="1378323" cy="1364162"/>
        </a:xfrm>
        <a:prstGeom prst="rect">
          <a:avLst/>
        </a:prstGeom>
      </xdr:spPr>
    </xdr:pic>
    <xdr:clientData/>
  </xdr:twoCellAnchor>
  <xdr:twoCellAnchor editAs="oneCell">
    <xdr:from>
      <xdr:col>5</xdr:col>
      <xdr:colOff>369795</xdr:colOff>
      <xdr:row>7</xdr:row>
      <xdr:rowOff>22413</xdr:rowOff>
    </xdr:from>
    <xdr:to>
      <xdr:col>5</xdr:col>
      <xdr:colOff>1669677</xdr:colOff>
      <xdr:row>8</xdr:row>
      <xdr:rowOff>627530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ED7DF-D425-EB3B-7063-E16AFF5A2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6060" y="4482354"/>
          <a:ext cx="1299882" cy="1299882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9</xdr:row>
      <xdr:rowOff>134436</xdr:rowOff>
    </xdr:from>
    <xdr:to>
      <xdr:col>5</xdr:col>
      <xdr:colOff>1748117</xdr:colOff>
      <xdr:row>10</xdr:row>
      <xdr:rowOff>538891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27F3CE1-6F8B-FF15-A94A-3B26E36CE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66765" y="5983907"/>
          <a:ext cx="1557617" cy="1099219"/>
        </a:xfrm>
        <a:prstGeom prst="rect">
          <a:avLst/>
        </a:prstGeom>
      </xdr:spPr>
    </xdr:pic>
    <xdr:clientData/>
  </xdr:twoCellAnchor>
  <xdr:twoCellAnchor editAs="oneCell">
    <xdr:from>
      <xdr:col>5</xdr:col>
      <xdr:colOff>312875</xdr:colOff>
      <xdr:row>11</xdr:row>
      <xdr:rowOff>78441</xdr:rowOff>
    </xdr:from>
    <xdr:to>
      <xdr:col>5</xdr:col>
      <xdr:colOff>1770529</xdr:colOff>
      <xdr:row>12</xdr:row>
      <xdr:rowOff>644563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5BF35B-F05E-6E32-FD8D-7E5B99D27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89140" y="7317441"/>
          <a:ext cx="1457654" cy="1260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6"/>
  <sheetViews>
    <sheetView tabSelected="1" zoomScale="85" zoomScaleNormal="85" zoomScaleSheetLayoutView="100" workbookViewId="0">
      <pane ySplit="3" topLeftCell="A6" activePane="bottomLeft" state="frozen"/>
      <selection pane="bottomLeft" activeCell="A6" sqref="A6:A7"/>
    </sheetView>
  </sheetViews>
  <sheetFormatPr defaultColWidth="9.109375" defaultRowHeight="13.8"/>
  <cols>
    <col min="1" max="1" width="9.109375" style="4"/>
    <col min="2" max="2" width="12.88671875" style="5" bestFit="1" customWidth="1"/>
    <col min="3" max="3" width="13.6640625" style="4" customWidth="1"/>
    <col min="4" max="4" width="8.44140625" style="4" bestFit="1" customWidth="1"/>
    <col min="5" max="5" width="32" style="4" customWidth="1"/>
    <col min="6" max="6" width="27.5546875" style="4" customWidth="1"/>
    <col min="7" max="8" width="11.44140625" style="4" bestFit="1" customWidth="1"/>
    <col min="9" max="9" width="17.109375" style="5" customWidth="1"/>
    <col min="10" max="10" width="16.109375" style="5" customWidth="1"/>
    <col min="11" max="11" width="26.5546875" style="5" customWidth="1"/>
    <col min="12" max="12" width="13.88671875" style="4" customWidth="1"/>
    <col min="13" max="13" width="21.109375" style="4" customWidth="1"/>
    <col min="14" max="19" width="9.5546875" style="4" customWidth="1"/>
    <col min="20" max="20" width="9.44140625" style="4" customWidth="1"/>
    <col min="21" max="21" width="17.33203125" style="4" customWidth="1"/>
    <col min="22" max="22" width="10" style="4" customWidth="1"/>
    <col min="23" max="23" width="8.6640625" style="4" customWidth="1"/>
    <col min="24" max="24" width="9.33203125" style="4" bestFit="1" customWidth="1"/>
    <col min="25" max="25" width="10.88671875" style="4" bestFit="1" customWidth="1"/>
    <col min="26" max="30" width="9.33203125" style="4" bestFit="1" customWidth="1"/>
    <col min="31" max="31" width="8.109375" style="4" customWidth="1"/>
    <col min="32" max="33" width="9.33203125" style="4" bestFit="1" customWidth="1"/>
    <col min="34" max="34" width="9.6640625" style="4" bestFit="1" customWidth="1"/>
    <col min="35" max="35" width="12.109375" style="4" bestFit="1" customWidth="1"/>
    <col min="36" max="36" width="9.33203125" style="4" bestFit="1" customWidth="1"/>
    <col min="37" max="37" width="15.109375" style="4" customWidth="1"/>
    <col min="38" max="39" width="13.44140625" style="5" customWidth="1"/>
    <col min="40" max="41" width="11.88671875" style="5" customWidth="1"/>
    <col min="42" max="43" width="13.5546875" style="5" customWidth="1"/>
    <col min="44" max="44" width="22.88671875" style="5" customWidth="1"/>
    <col min="45" max="45" width="17.5546875" style="5" customWidth="1"/>
    <col min="46" max="46" width="18.33203125" style="5" customWidth="1"/>
    <col min="47" max="16384" width="9.109375" style="5"/>
  </cols>
  <sheetData>
    <row r="1" spans="1:46" s="6" customFormat="1" ht="48.6" customHeight="1">
      <c r="A1" s="25" t="s">
        <v>24</v>
      </c>
      <c r="B1" s="25"/>
      <c r="C1" s="25"/>
      <c r="D1" s="25"/>
      <c r="E1" s="25"/>
      <c r="F1" s="25"/>
      <c r="G1" s="25"/>
      <c r="H1" s="26"/>
      <c r="I1" s="29" t="s">
        <v>23</v>
      </c>
      <c r="J1" s="29"/>
      <c r="K1" s="29"/>
      <c r="L1" s="29"/>
      <c r="M1" s="29"/>
      <c r="N1" s="23" t="s">
        <v>22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 t="s">
        <v>78</v>
      </c>
      <c r="AQ1" s="23"/>
      <c r="AR1" s="44" t="s">
        <v>55</v>
      </c>
      <c r="AS1" s="45"/>
      <c r="AT1" s="45"/>
    </row>
    <row r="2" spans="1:46" s="8" customFormat="1" ht="57.75" customHeight="1">
      <c r="A2" s="27" t="s">
        <v>0</v>
      </c>
      <c r="B2" s="27" t="s">
        <v>9</v>
      </c>
      <c r="C2" s="27" t="s">
        <v>19</v>
      </c>
      <c r="D2" s="27" t="s">
        <v>16</v>
      </c>
      <c r="E2" s="27" t="s">
        <v>3</v>
      </c>
      <c r="F2" s="27" t="s">
        <v>2</v>
      </c>
      <c r="G2" s="27" t="s">
        <v>37</v>
      </c>
      <c r="H2" s="27" t="s">
        <v>15</v>
      </c>
      <c r="I2" s="30" t="s">
        <v>12</v>
      </c>
      <c r="J2" s="30" t="s">
        <v>10</v>
      </c>
      <c r="K2" s="30" t="s">
        <v>11</v>
      </c>
      <c r="L2" s="30" t="s">
        <v>34</v>
      </c>
      <c r="M2" s="30" t="s">
        <v>14</v>
      </c>
      <c r="N2" s="22" t="s">
        <v>17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 t="s">
        <v>76</v>
      </c>
      <c r="AA2" s="22" t="s">
        <v>69</v>
      </c>
      <c r="AB2" s="22" t="s">
        <v>70</v>
      </c>
      <c r="AC2" s="42" t="s">
        <v>71</v>
      </c>
      <c r="AD2" s="42" t="s">
        <v>72</v>
      </c>
      <c r="AE2" s="22" t="s">
        <v>18</v>
      </c>
      <c r="AF2" s="22"/>
      <c r="AG2" s="22"/>
      <c r="AH2" s="37" t="s">
        <v>13</v>
      </c>
      <c r="AI2" s="38"/>
      <c r="AJ2" s="39"/>
      <c r="AK2" s="24" t="s">
        <v>77</v>
      </c>
      <c r="AL2" s="22" t="s">
        <v>38</v>
      </c>
      <c r="AM2" s="22" t="s">
        <v>39</v>
      </c>
      <c r="AN2" s="22" t="s">
        <v>40</v>
      </c>
      <c r="AO2" s="22" t="s">
        <v>5</v>
      </c>
      <c r="AP2" s="7" t="s">
        <v>41</v>
      </c>
      <c r="AQ2" s="7" t="s">
        <v>42</v>
      </c>
      <c r="AR2" s="46" t="s">
        <v>81</v>
      </c>
      <c r="AS2" s="47" t="s">
        <v>79</v>
      </c>
      <c r="AT2" s="47" t="s">
        <v>80</v>
      </c>
    </row>
    <row r="3" spans="1:46" s="8" customFormat="1" ht="41.25" customHeight="1">
      <c r="A3" s="28"/>
      <c r="B3" s="28"/>
      <c r="C3" s="28"/>
      <c r="D3" s="28"/>
      <c r="E3" s="28"/>
      <c r="F3" s="28"/>
      <c r="G3" s="28"/>
      <c r="H3" s="28"/>
      <c r="I3" s="30"/>
      <c r="J3" s="30"/>
      <c r="K3" s="30"/>
      <c r="L3" s="30"/>
      <c r="M3" s="30"/>
      <c r="N3" s="11" t="s">
        <v>31</v>
      </c>
      <c r="O3" s="11" t="s">
        <v>25</v>
      </c>
      <c r="P3" s="11" t="s">
        <v>26</v>
      </c>
      <c r="Q3" s="11" t="s">
        <v>27</v>
      </c>
      <c r="R3" s="10" t="s">
        <v>35</v>
      </c>
      <c r="S3" s="10" t="s">
        <v>36</v>
      </c>
      <c r="T3" s="10" t="s">
        <v>25</v>
      </c>
      <c r="U3" s="9" t="s">
        <v>28</v>
      </c>
      <c r="V3" s="7" t="s">
        <v>75</v>
      </c>
      <c r="W3" s="7" t="s">
        <v>21</v>
      </c>
      <c r="X3" s="7" t="s">
        <v>73</v>
      </c>
      <c r="Y3" s="7" t="s">
        <v>74</v>
      </c>
      <c r="Z3" s="22"/>
      <c r="AA3" s="22"/>
      <c r="AB3" s="22"/>
      <c r="AC3" s="43"/>
      <c r="AD3" s="43"/>
      <c r="AE3" s="7" t="s">
        <v>6</v>
      </c>
      <c r="AF3" s="7" t="s">
        <v>32</v>
      </c>
      <c r="AG3" s="7" t="s">
        <v>33</v>
      </c>
      <c r="AH3" s="7" t="s">
        <v>6</v>
      </c>
      <c r="AI3" s="7" t="s">
        <v>7</v>
      </c>
      <c r="AJ3" s="7" t="s">
        <v>8</v>
      </c>
      <c r="AK3" s="24"/>
      <c r="AL3" s="22"/>
      <c r="AM3" s="22"/>
      <c r="AN3" s="22"/>
      <c r="AO3" s="22"/>
      <c r="AP3" s="7" t="s">
        <v>4</v>
      </c>
      <c r="AQ3" s="7" t="s">
        <v>4</v>
      </c>
      <c r="AR3" s="46"/>
      <c r="AS3" s="47"/>
      <c r="AT3" s="47"/>
    </row>
    <row r="4" spans="1:46" ht="54.75" customHeight="1">
      <c r="A4" s="14">
        <v>1</v>
      </c>
      <c r="B4" s="16">
        <v>46280</v>
      </c>
      <c r="C4" s="14" t="s">
        <v>57</v>
      </c>
      <c r="D4" s="18" t="s">
        <v>1</v>
      </c>
      <c r="E4" s="18" t="s">
        <v>58</v>
      </c>
      <c r="F4" s="18"/>
      <c r="G4" s="14">
        <v>1</v>
      </c>
      <c r="H4" s="14">
        <v>12</v>
      </c>
      <c r="I4" s="18" t="s">
        <v>56</v>
      </c>
      <c r="J4" s="18" t="s">
        <v>56</v>
      </c>
      <c r="K4" s="18" t="s">
        <v>54</v>
      </c>
      <c r="L4" s="18" t="s">
        <v>1</v>
      </c>
      <c r="M4" s="18" t="s">
        <v>1</v>
      </c>
      <c r="N4" s="3" t="s">
        <v>29</v>
      </c>
      <c r="O4" s="3"/>
      <c r="P4" s="3"/>
      <c r="Q4" s="3"/>
      <c r="R4" s="3">
        <v>53</v>
      </c>
      <c r="S4" s="3"/>
      <c r="T4" s="3">
        <v>16</v>
      </c>
      <c r="U4" s="20">
        <v>7.8499999999999994E-6</v>
      </c>
      <c r="V4" s="21">
        <f>(O4*P4*Q4*U4)+(3.14*(R4/2)*(R4/2)*T4*U4)-(3.14*(S4/2)*(S4/2)*T4*U4)</f>
        <v>0.276956164</v>
      </c>
      <c r="W4" s="21">
        <f>(O5*P5*Q5*U4)+(3.14*(R5/2)*(R5/2)*T5*U4)-(3.14*(S5/2)*(S5/2)*T5*U4)</f>
        <v>6.3594420000000013E-2</v>
      </c>
      <c r="X4" s="13">
        <v>69</v>
      </c>
      <c r="Y4" s="13">
        <f>V4*X4</f>
        <v>19.109975316</v>
      </c>
      <c r="Z4" s="13">
        <f>10</f>
        <v>10</v>
      </c>
      <c r="AA4" s="34">
        <v>0</v>
      </c>
      <c r="AB4" s="34">
        <v>0</v>
      </c>
      <c r="AC4" s="34">
        <v>8</v>
      </c>
      <c r="AD4" s="40">
        <v>1.5</v>
      </c>
      <c r="AE4" s="35"/>
      <c r="AF4" s="13">
        <f>AD4*Sheet2!$B$1</f>
        <v>450</v>
      </c>
      <c r="AG4" s="13">
        <f>AC4*(Sheet2!$B$1/60)</f>
        <v>40</v>
      </c>
      <c r="AH4" s="35"/>
      <c r="AI4" s="35">
        <f>AB4*Sheet2!$B$2</f>
        <v>0</v>
      </c>
      <c r="AJ4" s="35">
        <f>AA4*(Sheet2!$B$2/60)</f>
        <v>0</v>
      </c>
      <c r="AK4" s="13">
        <f>SUM(AJ4,AG4,Z4,Y4)</f>
        <v>69.109975316000003</v>
      </c>
      <c r="AL4" s="13">
        <f>AK4*0%</f>
        <v>0</v>
      </c>
      <c r="AM4" s="13">
        <f>AK4*0%</f>
        <v>0</v>
      </c>
      <c r="AN4" s="13">
        <f>AK4*0%</f>
        <v>0</v>
      </c>
      <c r="AO4" s="13">
        <f>((V4-W4)*80%)*(X4/4)</f>
        <v>2.9443920672000004</v>
      </c>
      <c r="AP4" s="13">
        <f>(SUM(Y4,Z4,AE4:AN4)-AK4-AO4)*G4*115%</f>
        <v>593.59042073611977</v>
      </c>
      <c r="AQ4" s="13">
        <f>(SUM(AK4,AL4:AN4)-AO4)*G4*115%</f>
        <v>76.090420736119995</v>
      </c>
      <c r="AR4" s="13">
        <f>(AK4-AO4)*1.15</f>
        <v>76.090420736119995</v>
      </c>
      <c r="AS4" s="13">
        <f>AP4+((H4-1)*AR4)</f>
        <v>1430.5850488334397</v>
      </c>
      <c r="AT4" s="13">
        <f>AS4/H4</f>
        <v>119.21542073611998</v>
      </c>
    </row>
    <row r="5" spans="1:46" ht="54.75" customHeight="1">
      <c r="A5" s="15"/>
      <c r="B5" s="17"/>
      <c r="C5" s="15"/>
      <c r="D5" s="19"/>
      <c r="E5" s="19"/>
      <c r="F5" s="19"/>
      <c r="G5" s="15"/>
      <c r="H5" s="15"/>
      <c r="I5" s="19"/>
      <c r="J5" s="19"/>
      <c r="K5" s="19"/>
      <c r="L5" s="19"/>
      <c r="M5" s="19"/>
      <c r="N5" s="3" t="s">
        <v>30</v>
      </c>
      <c r="O5" s="3"/>
      <c r="P5" s="3"/>
      <c r="Q5" s="3"/>
      <c r="R5" s="3">
        <v>48</v>
      </c>
      <c r="S5" s="3">
        <v>38</v>
      </c>
      <c r="T5" s="3">
        <v>12</v>
      </c>
      <c r="U5" s="20"/>
      <c r="V5" s="21"/>
      <c r="W5" s="21"/>
      <c r="X5" s="13"/>
      <c r="Y5" s="13"/>
      <c r="Z5" s="13"/>
      <c r="AA5" s="34"/>
      <c r="AB5" s="34"/>
      <c r="AC5" s="34"/>
      <c r="AD5" s="41"/>
      <c r="AE5" s="36"/>
      <c r="AF5" s="13"/>
      <c r="AG5" s="13"/>
      <c r="AH5" s="36"/>
      <c r="AI5" s="36"/>
      <c r="AJ5" s="36"/>
      <c r="AK5" s="13"/>
      <c r="AL5" s="13"/>
      <c r="AM5" s="13"/>
      <c r="AN5" s="13"/>
      <c r="AO5" s="13"/>
      <c r="AP5" s="13"/>
      <c r="AQ5" s="13"/>
      <c r="AR5" s="13"/>
      <c r="AS5" s="20"/>
      <c r="AT5" s="20"/>
    </row>
    <row r="6" spans="1:46" ht="54.75" customHeight="1">
      <c r="A6" s="14">
        <v>2</v>
      </c>
      <c r="B6" s="16">
        <v>46280</v>
      </c>
      <c r="C6" s="14" t="s">
        <v>59</v>
      </c>
      <c r="D6" s="18" t="s">
        <v>1</v>
      </c>
      <c r="E6" s="18" t="s">
        <v>62</v>
      </c>
      <c r="F6" s="18"/>
      <c r="G6" s="14">
        <v>1</v>
      </c>
      <c r="H6" s="14">
        <v>6</v>
      </c>
      <c r="I6" s="18" t="s">
        <v>56</v>
      </c>
      <c r="J6" s="18" t="s">
        <v>56</v>
      </c>
      <c r="K6" s="18" t="s">
        <v>54</v>
      </c>
      <c r="L6" s="18" t="s">
        <v>1</v>
      </c>
      <c r="M6" s="18" t="s">
        <v>1</v>
      </c>
      <c r="N6" s="3" t="s">
        <v>29</v>
      </c>
      <c r="O6" s="3"/>
      <c r="P6" s="3"/>
      <c r="Q6" s="3"/>
      <c r="R6" s="3">
        <v>45</v>
      </c>
      <c r="S6" s="3"/>
      <c r="T6" s="3">
        <v>16</v>
      </c>
      <c r="U6" s="20">
        <v>7.8499999999999994E-6</v>
      </c>
      <c r="V6" s="21">
        <f>(O6*P6*Q6*U6)+(3.14*(R6/2)*(R6/2)*T6*U6)-(3.14*(S6/2)*(S6/2)*T6*U6)</f>
        <v>0.19965690000000003</v>
      </c>
      <c r="W6" s="21">
        <f>(O7*P7*Q7*U6)+(3.14*(R7/2)*(R7/2)*T7*U6)-(3.14*(S7/2)*(S7/2)*T7*U6)</f>
        <v>6.9017200000000001E-2</v>
      </c>
      <c r="X6" s="13">
        <v>69</v>
      </c>
      <c r="Y6" s="13">
        <f>V6*X6</f>
        <v>13.776326100000002</v>
      </c>
      <c r="Z6" s="13">
        <f>10</f>
        <v>10</v>
      </c>
      <c r="AA6" s="34">
        <v>0</v>
      </c>
      <c r="AB6" s="34">
        <v>0</v>
      </c>
      <c r="AC6" s="34">
        <v>8</v>
      </c>
      <c r="AD6" s="40">
        <v>1.5</v>
      </c>
      <c r="AE6" s="35"/>
      <c r="AF6" s="13">
        <f>AD6*Sheet2!$B$1</f>
        <v>450</v>
      </c>
      <c r="AG6" s="13">
        <f>AC6*(Sheet2!$B$1/60)</f>
        <v>40</v>
      </c>
      <c r="AH6" s="35"/>
      <c r="AI6" s="35">
        <f>AB6*Sheet2!$B$2</f>
        <v>0</v>
      </c>
      <c r="AJ6" s="35">
        <f>AA6*(Sheet2!$B$2/60)</f>
        <v>0</v>
      </c>
      <c r="AK6" s="13">
        <f>SUM(AJ6,AG6,Z6,Y6)</f>
        <v>63.776326100000006</v>
      </c>
      <c r="AL6" s="13">
        <f>AK6*0%</f>
        <v>0</v>
      </c>
      <c r="AM6" s="13">
        <f>AK6*0%</f>
        <v>0</v>
      </c>
      <c r="AN6" s="13">
        <f>AK6*0%</f>
        <v>0</v>
      </c>
      <c r="AO6" s="13">
        <f>((V6-W6)*80%)*(X6/4)</f>
        <v>1.8028278600000005</v>
      </c>
      <c r="AP6" s="13">
        <f>(SUM(Y6:AN6)-AK6-AO6)*G6*115%</f>
        <v>599.69452297600003</v>
      </c>
      <c r="AQ6" s="13">
        <f>(SUM(AK6,AL6:AN6)-AO6)*G6*115%</f>
        <v>71.269522976000005</v>
      </c>
      <c r="AR6" s="13">
        <f>(AK6-AO6)*1.15</f>
        <v>71.269522976000005</v>
      </c>
      <c r="AS6" s="13">
        <f>AP6+((H6-1)*AR6)</f>
        <v>956.04213785600007</v>
      </c>
      <c r="AT6" s="13">
        <f>AS6/H6</f>
        <v>159.34035630933334</v>
      </c>
    </row>
    <row r="7" spans="1:46" ht="54.75" customHeight="1">
      <c r="A7" s="15"/>
      <c r="B7" s="17"/>
      <c r="C7" s="15"/>
      <c r="D7" s="19"/>
      <c r="E7" s="19"/>
      <c r="F7" s="19"/>
      <c r="G7" s="15"/>
      <c r="H7" s="15"/>
      <c r="I7" s="19"/>
      <c r="J7" s="19"/>
      <c r="K7" s="19"/>
      <c r="L7" s="19"/>
      <c r="M7" s="19"/>
      <c r="N7" s="3" t="s">
        <v>30</v>
      </c>
      <c r="O7" s="3"/>
      <c r="P7" s="3"/>
      <c r="Q7" s="3"/>
      <c r="R7" s="3">
        <v>40</v>
      </c>
      <c r="S7" s="3">
        <v>30</v>
      </c>
      <c r="T7" s="3">
        <v>16</v>
      </c>
      <c r="U7" s="20"/>
      <c r="V7" s="21"/>
      <c r="W7" s="21"/>
      <c r="X7" s="13"/>
      <c r="Y7" s="13"/>
      <c r="Z7" s="13"/>
      <c r="AA7" s="34"/>
      <c r="AB7" s="34"/>
      <c r="AC7" s="34"/>
      <c r="AD7" s="41"/>
      <c r="AE7" s="36"/>
      <c r="AF7" s="13"/>
      <c r="AG7" s="13"/>
      <c r="AH7" s="36"/>
      <c r="AI7" s="36"/>
      <c r="AJ7" s="36"/>
      <c r="AK7" s="13"/>
      <c r="AL7" s="13"/>
      <c r="AM7" s="13"/>
      <c r="AN7" s="13"/>
      <c r="AO7" s="13"/>
      <c r="AP7" s="13"/>
      <c r="AQ7" s="13"/>
      <c r="AR7" s="13"/>
      <c r="AS7" s="20"/>
      <c r="AT7" s="20"/>
    </row>
    <row r="8" spans="1:46" ht="54.75" customHeight="1">
      <c r="A8" s="14">
        <v>3</v>
      </c>
      <c r="B8" s="16">
        <v>46280</v>
      </c>
      <c r="C8" s="14" t="s">
        <v>60</v>
      </c>
      <c r="D8" s="18" t="s">
        <v>1</v>
      </c>
      <c r="E8" s="18" t="s">
        <v>63</v>
      </c>
      <c r="F8" s="18"/>
      <c r="G8" s="14">
        <v>1</v>
      </c>
      <c r="H8" s="14">
        <v>6</v>
      </c>
      <c r="I8" s="18" t="s">
        <v>56</v>
      </c>
      <c r="J8" s="18" t="s">
        <v>56</v>
      </c>
      <c r="K8" s="18" t="s">
        <v>54</v>
      </c>
      <c r="L8" s="18" t="s">
        <v>1</v>
      </c>
      <c r="M8" s="18" t="s">
        <v>1</v>
      </c>
      <c r="N8" s="3" t="s">
        <v>29</v>
      </c>
      <c r="O8" s="3"/>
      <c r="P8" s="3"/>
      <c r="Q8" s="3"/>
      <c r="R8" s="3">
        <v>32</v>
      </c>
      <c r="S8" s="3"/>
      <c r="T8" s="3">
        <v>13</v>
      </c>
      <c r="U8" s="20">
        <v>7.8499999999999994E-6</v>
      </c>
      <c r="V8" s="21">
        <f>(O8*P8*Q8*U8)+(3.14*(R8/2)*(R8/2)*T8*U8)-(3.14*(S8/2)*(S8/2)*T8*U8)</f>
        <v>8.2031871999999992E-2</v>
      </c>
      <c r="W8" s="21">
        <f>(O9*P9*Q9*U8)+(3.14*(R9/2)*(R9/2)*T9*U8)-(3.14*(S9/2)*(S9/2)*T9*U8)</f>
        <v>2.3293304999999993E-2</v>
      </c>
      <c r="X8" s="13">
        <v>69</v>
      </c>
      <c r="Y8" s="13">
        <f>V8*X8</f>
        <v>5.6601991679999992</v>
      </c>
      <c r="Z8" s="13">
        <f>10</f>
        <v>10</v>
      </c>
      <c r="AA8" s="34">
        <v>0</v>
      </c>
      <c r="AB8" s="34">
        <v>0</v>
      </c>
      <c r="AC8" s="34">
        <v>8</v>
      </c>
      <c r="AD8" s="40">
        <v>1.5</v>
      </c>
      <c r="AE8" s="35"/>
      <c r="AF8" s="13">
        <f>AD8*Sheet2!$B$1</f>
        <v>450</v>
      </c>
      <c r="AG8" s="13">
        <f>AC8*(Sheet2!$B$1/60)</f>
        <v>40</v>
      </c>
      <c r="AH8" s="35"/>
      <c r="AI8" s="35">
        <f>AB8*Sheet2!$B$2</f>
        <v>0</v>
      </c>
      <c r="AJ8" s="35">
        <f>AA8*(Sheet2!$B$2/60)</f>
        <v>0</v>
      </c>
      <c r="AK8" s="13">
        <f>SUM(AJ8,AG8,Z8,Y8)</f>
        <v>55.660199167999998</v>
      </c>
      <c r="AL8" s="13">
        <f>AK8*0%</f>
        <v>0</v>
      </c>
      <c r="AM8" s="13">
        <f>AK8*0%</f>
        <v>0</v>
      </c>
      <c r="AN8" s="13">
        <f>AK8*0%</f>
        <v>0</v>
      </c>
      <c r="AO8" s="13">
        <f>((V8-W8)*80%)*(X8/4)</f>
        <v>0.81059222460000002</v>
      </c>
      <c r="AP8" s="13">
        <f>(SUM(Y8:AN8)-AK8-AO8)*G8*115%</f>
        <v>591.50204798490995</v>
      </c>
      <c r="AQ8" s="13">
        <f>(SUM(AK8,AL8:AN8)-AO8)*G8*115%</f>
        <v>63.077047984909996</v>
      </c>
      <c r="AR8" s="13">
        <f>(AK8-AO8)*1.15</f>
        <v>63.077047984909996</v>
      </c>
      <c r="AS8" s="13">
        <f>AP8+((H8-1)*AR8)</f>
        <v>906.88728790945993</v>
      </c>
      <c r="AT8" s="13">
        <f>AS8/H8</f>
        <v>151.14788131824332</v>
      </c>
    </row>
    <row r="9" spans="1:46" ht="54.75" customHeight="1">
      <c r="A9" s="15"/>
      <c r="B9" s="17"/>
      <c r="C9" s="15"/>
      <c r="D9" s="19"/>
      <c r="E9" s="19"/>
      <c r="F9" s="19"/>
      <c r="G9" s="15"/>
      <c r="H9" s="15"/>
      <c r="I9" s="19"/>
      <c r="J9" s="19"/>
      <c r="K9" s="19"/>
      <c r="L9" s="19"/>
      <c r="M9" s="19"/>
      <c r="N9" s="3" t="s">
        <v>30</v>
      </c>
      <c r="O9" s="3"/>
      <c r="P9" s="3"/>
      <c r="Q9" s="3"/>
      <c r="R9" s="3">
        <v>26</v>
      </c>
      <c r="S9" s="3">
        <v>16</v>
      </c>
      <c r="T9" s="3">
        <v>9</v>
      </c>
      <c r="U9" s="20"/>
      <c r="V9" s="21"/>
      <c r="W9" s="21"/>
      <c r="X9" s="13"/>
      <c r="Y9" s="13"/>
      <c r="Z9" s="13"/>
      <c r="AA9" s="34"/>
      <c r="AB9" s="34"/>
      <c r="AC9" s="34"/>
      <c r="AD9" s="41"/>
      <c r="AE9" s="36"/>
      <c r="AF9" s="13"/>
      <c r="AG9" s="13"/>
      <c r="AH9" s="36"/>
      <c r="AI9" s="36"/>
      <c r="AJ9" s="36"/>
      <c r="AK9" s="13"/>
      <c r="AL9" s="13"/>
      <c r="AM9" s="13"/>
      <c r="AN9" s="13"/>
      <c r="AO9" s="13"/>
      <c r="AP9" s="13"/>
      <c r="AQ9" s="13"/>
      <c r="AR9" s="13"/>
      <c r="AS9" s="20"/>
      <c r="AT9" s="20"/>
    </row>
    <row r="10" spans="1:46" ht="54.75" customHeight="1">
      <c r="A10" s="14">
        <v>4</v>
      </c>
      <c r="B10" s="16">
        <v>46280</v>
      </c>
      <c r="C10" s="14" t="s">
        <v>61</v>
      </c>
      <c r="D10" s="18" t="s">
        <v>1</v>
      </c>
      <c r="E10" s="18" t="s">
        <v>64</v>
      </c>
      <c r="F10" s="18"/>
      <c r="G10" s="14">
        <v>1</v>
      </c>
      <c r="H10" s="14">
        <v>12</v>
      </c>
      <c r="I10" s="18" t="s">
        <v>56</v>
      </c>
      <c r="J10" s="18" t="s">
        <v>56</v>
      </c>
      <c r="K10" s="18" t="s">
        <v>54</v>
      </c>
      <c r="L10" s="18" t="s">
        <v>1</v>
      </c>
      <c r="M10" s="18" t="s">
        <v>1</v>
      </c>
      <c r="N10" s="3" t="s">
        <v>29</v>
      </c>
      <c r="O10" s="3">
        <v>20</v>
      </c>
      <c r="P10" s="3">
        <v>20</v>
      </c>
      <c r="Q10" s="3">
        <v>90</v>
      </c>
      <c r="R10" s="3"/>
      <c r="S10" s="3"/>
      <c r="T10" s="3"/>
      <c r="U10" s="20">
        <v>7.8499999999999994E-6</v>
      </c>
      <c r="V10" s="21">
        <f>(O10*P10*Q10*U10)+(3.14*(R10/2)*(R10/2)*T10*U10)-(3.14*(S10/2)*(S10/2)*T10*U10)</f>
        <v>0.28259999999999996</v>
      </c>
      <c r="W10" s="21">
        <f>(O11*P11*Q11*U10)+(3.14*(R11/2)*(R11/2)*T11*U10)-(3.14*(S11/2)*(S11/2)*T11*U10)</f>
        <v>0.20095999999999997</v>
      </c>
      <c r="X10" s="13">
        <v>90</v>
      </c>
      <c r="Y10" s="13">
        <f>V10*X10</f>
        <v>25.433999999999997</v>
      </c>
      <c r="Z10" s="13">
        <f>10</f>
        <v>10</v>
      </c>
      <c r="AA10" s="34">
        <v>8</v>
      </c>
      <c r="AB10" s="34">
        <v>1.5</v>
      </c>
      <c r="AC10" s="34">
        <v>0</v>
      </c>
      <c r="AD10" s="40">
        <v>0</v>
      </c>
      <c r="AE10" s="35"/>
      <c r="AF10" s="13">
        <f>AD10*Sheet2!$B$1</f>
        <v>0</v>
      </c>
      <c r="AG10" s="13">
        <f>AC10*(Sheet2!$B$1/60)</f>
        <v>0</v>
      </c>
      <c r="AH10" s="35"/>
      <c r="AI10" s="35">
        <f>AB10*Sheet2!$B$2</f>
        <v>675</v>
      </c>
      <c r="AJ10" s="35">
        <f>AA10*(Sheet2!$B$2/60)</f>
        <v>60</v>
      </c>
      <c r="AK10" s="13">
        <f>SUM(AJ10,AG10,Z10,Y10)</f>
        <v>95.433999999999997</v>
      </c>
      <c r="AL10" s="13">
        <f>AK10*0%</f>
        <v>0</v>
      </c>
      <c r="AM10" s="13">
        <f>AK10*0%</f>
        <v>0</v>
      </c>
      <c r="AN10" s="13">
        <f>AK10*0%</f>
        <v>0</v>
      </c>
      <c r="AO10" s="13">
        <f>((V10-W10)*80%)*(X10/4)</f>
        <v>1.4695199999999999</v>
      </c>
      <c r="AP10" s="13">
        <f>(SUM(Y10:AN10)-AK10-AO10)*G10*115%</f>
        <v>895.23415199999988</v>
      </c>
      <c r="AQ10" s="13">
        <f>(SUM(AK10,AL10:AN10)-AO10)*G10*115%</f>
        <v>108.05915199999998</v>
      </c>
      <c r="AR10" s="13">
        <f>(AK10-AO10)*1.15</f>
        <v>108.05915199999998</v>
      </c>
      <c r="AS10" s="13">
        <f>AP10+((H10-1)*AR10)</f>
        <v>2083.8848239999998</v>
      </c>
      <c r="AT10" s="13">
        <f>AS10/H10</f>
        <v>173.65706866666665</v>
      </c>
    </row>
    <row r="11" spans="1:46" ht="54.75" customHeight="1">
      <c r="A11" s="15"/>
      <c r="B11" s="17"/>
      <c r="C11" s="15"/>
      <c r="D11" s="19"/>
      <c r="E11" s="19"/>
      <c r="F11" s="19"/>
      <c r="G11" s="15"/>
      <c r="H11" s="15"/>
      <c r="I11" s="19"/>
      <c r="J11" s="19"/>
      <c r="K11" s="19"/>
      <c r="L11" s="19"/>
      <c r="M11" s="19"/>
      <c r="N11" s="3" t="s">
        <v>30</v>
      </c>
      <c r="O11" s="3">
        <v>20</v>
      </c>
      <c r="P11" s="3">
        <v>16</v>
      </c>
      <c r="Q11" s="3">
        <v>80</v>
      </c>
      <c r="R11" s="3"/>
      <c r="S11" s="3"/>
      <c r="T11" s="3"/>
      <c r="U11" s="20"/>
      <c r="V11" s="21"/>
      <c r="W11" s="21"/>
      <c r="X11" s="13"/>
      <c r="Y11" s="13"/>
      <c r="Z11" s="13"/>
      <c r="AA11" s="34"/>
      <c r="AB11" s="34"/>
      <c r="AC11" s="34"/>
      <c r="AD11" s="41"/>
      <c r="AE11" s="36"/>
      <c r="AF11" s="13"/>
      <c r="AG11" s="13"/>
      <c r="AH11" s="36"/>
      <c r="AI11" s="36"/>
      <c r="AJ11" s="36"/>
      <c r="AK11" s="13"/>
      <c r="AL11" s="13"/>
      <c r="AM11" s="13"/>
      <c r="AN11" s="13"/>
      <c r="AO11" s="13"/>
      <c r="AP11" s="13"/>
      <c r="AQ11" s="13"/>
      <c r="AR11" s="13"/>
      <c r="AS11" s="20"/>
      <c r="AT11" s="20"/>
    </row>
    <row r="12" spans="1:46" ht="54.75" customHeight="1">
      <c r="A12" s="14">
        <v>5</v>
      </c>
      <c r="B12" s="16">
        <v>46281</v>
      </c>
      <c r="C12" s="14">
        <v>58615193186</v>
      </c>
      <c r="D12" s="18" t="s">
        <v>1</v>
      </c>
      <c r="E12" s="18" t="s">
        <v>65</v>
      </c>
      <c r="F12" s="18"/>
      <c r="G12" s="14">
        <v>1</v>
      </c>
      <c r="H12" s="14">
        <v>0</v>
      </c>
      <c r="I12" s="18" t="s">
        <v>56</v>
      </c>
      <c r="J12" s="18" t="s">
        <v>56</v>
      </c>
      <c r="K12" s="18" t="s">
        <v>66</v>
      </c>
      <c r="L12" s="18" t="s">
        <v>1</v>
      </c>
      <c r="M12" s="18" t="s">
        <v>1</v>
      </c>
      <c r="N12" s="3" t="s">
        <v>29</v>
      </c>
      <c r="O12" s="3"/>
      <c r="P12" s="3"/>
      <c r="Q12" s="3"/>
      <c r="R12" s="3"/>
      <c r="S12" s="3"/>
      <c r="T12" s="3"/>
      <c r="U12" s="20">
        <v>7.8499999999999994E-6</v>
      </c>
      <c r="V12" s="21">
        <f>(O12*P12*Q12*U12)+(3.14*(R12/2)*(R12/2)*T12*U12)-(3.14*(S12/2)*(S12/2)*T12*U12)</f>
        <v>0</v>
      </c>
      <c r="W12" s="21">
        <f>(O13*P13*Q13*U12)+(3.14*(R13/2)*(R13/2)*T13*U12)-(3.14*(S13/2)*(S13/2)*T13*U12)</f>
        <v>0</v>
      </c>
      <c r="X12" s="13">
        <v>0</v>
      </c>
      <c r="Y12" s="13">
        <f>V12*X12</f>
        <v>0</v>
      </c>
      <c r="Z12" s="13">
        <f>10</f>
        <v>10</v>
      </c>
      <c r="AA12" s="34">
        <v>10</v>
      </c>
      <c r="AB12" s="34">
        <v>1</v>
      </c>
      <c r="AC12" s="34">
        <v>15</v>
      </c>
      <c r="AD12" s="40">
        <v>2</v>
      </c>
      <c r="AE12" s="35"/>
      <c r="AF12" s="13">
        <f>AD12*Sheet2!$B$1</f>
        <v>600</v>
      </c>
      <c r="AG12" s="13">
        <f>AC12*(Sheet2!$B$1/60)</f>
        <v>75</v>
      </c>
      <c r="AH12" s="35"/>
      <c r="AI12" s="35">
        <f>AB12*Sheet2!$B$2</f>
        <v>450</v>
      </c>
      <c r="AJ12" s="35">
        <f>AA12*(Sheet2!$B$2/60)</f>
        <v>75</v>
      </c>
      <c r="AK12" s="13">
        <f>SUM(AJ12,AG12,Z12,Y12)</f>
        <v>160</v>
      </c>
      <c r="AL12" s="13">
        <f>AK12*0%</f>
        <v>0</v>
      </c>
      <c r="AM12" s="13">
        <f>AK12*0%</f>
        <v>0</v>
      </c>
      <c r="AN12" s="13">
        <f>AK12*0%</f>
        <v>0</v>
      </c>
      <c r="AO12" s="13">
        <f>((V12-W12)*80%)*(X12/4)</f>
        <v>0</v>
      </c>
      <c r="AP12" s="13">
        <f>(SUM(Y12:AN12)-AK12-AO12)*G12*115%</f>
        <v>1423.6999999999998</v>
      </c>
      <c r="AQ12" s="13">
        <f>(SUM(AK12,AL12:AN12)-AO12)*G12*115%</f>
        <v>184</v>
      </c>
      <c r="AR12" s="13">
        <f>(AK12-AO12)*1.15</f>
        <v>184</v>
      </c>
      <c r="AS12" s="13">
        <f>AP12+((H12-1)*AR12)</f>
        <v>1239.6999999999998</v>
      </c>
      <c r="AT12" s="13" t="e">
        <f>AS12/H12</f>
        <v>#DIV/0!</v>
      </c>
    </row>
    <row r="13" spans="1:46" ht="54.75" customHeight="1">
      <c r="A13" s="15"/>
      <c r="B13" s="17"/>
      <c r="C13" s="15"/>
      <c r="D13" s="19"/>
      <c r="E13" s="19"/>
      <c r="F13" s="19"/>
      <c r="G13" s="15"/>
      <c r="H13" s="15"/>
      <c r="I13" s="19"/>
      <c r="J13" s="19"/>
      <c r="K13" s="19"/>
      <c r="L13" s="19"/>
      <c r="M13" s="19"/>
      <c r="N13" s="3" t="s">
        <v>30</v>
      </c>
      <c r="O13" s="3"/>
      <c r="P13" s="3"/>
      <c r="Q13" s="3"/>
      <c r="R13" s="3"/>
      <c r="S13" s="3"/>
      <c r="T13" s="3"/>
      <c r="U13" s="20"/>
      <c r="V13" s="21"/>
      <c r="W13" s="21"/>
      <c r="X13" s="13"/>
      <c r="Y13" s="13"/>
      <c r="Z13" s="13"/>
      <c r="AA13" s="34"/>
      <c r="AB13" s="34"/>
      <c r="AC13" s="34"/>
      <c r="AD13" s="41"/>
      <c r="AE13" s="36"/>
      <c r="AF13" s="13"/>
      <c r="AG13" s="13"/>
      <c r="AH13" s="36"/>
      <c r="AI13" s="36"/>
      <c r="AJ13" s="36"/>
      <c r="AK13" s="13"/>
      <c r="AL13" s="13"/>
      <c r="AM13" s="13"/>
      <c r="AN13" s="13"/>
      <c r="AO13" s="13"/>
      <c r="AP13" s="13"/>
      <c r="AQ13" s="13"/>
      <c r="AR13" s="13"/>
      <c r="AS13" s="20"/>
      <c r="AT13" s="20"/>
    </row>
    <row r="16" spans="1:46">
      <c r="C16" s="4" t="s">
        <v>53</v>
      </c>
    </row>
  </sheetData>
  <mergeCells count="229">
    <mergeCell ref="AS2:AS3"/>
    <mergeCell ref="AT2:AT3"/>
    <mergeCell ref="AR2:AR3"/>
    <mergeCell ref="AR1:AT1"/>
    <mergeCell ref="AJ12:AJ13"/>
    <mergeCell ref="AI12:AI13"/>
    <mergeCell ref="AH12:AH13"/>
    <mergeCell ref="AA2:AA3"/>
    <mergeCell ref="AA4:AA5"/>
    <mergeCell ref="AA6:AA7"/>
    <mergeCell ref="AA8:AA9"/>
    <mergeCell ref="AA10:AA11"/>
    <mergeCell ref="AA12:AA13"/>
    <mergeCell ref="AC2:AC3"/>
    <mergeCell ref="AC4:AC5"/>
    <mergeCell ref="AE4:AE5"/>
    <mergeCell ref="AE6:AE7"/>
    <mergeCell ref="AE8:AE9"/>
    <mergeCell ref="AD2:AD3"/>
    <mergeCell ref="AD4:AD5"/>
    <mergeCell ref="AD6:AD7"/>
    <mergeCell ref="AD8:AD9"/>
    <mergeCell ref="AD10:AD11"/>
    <mergeCell ref="AD12:AD13"/>
    <mergeCell ref="AB2:AB3"/>
    <mergeCell ref="AB4:AB5"/>
    <mergeCell ref="AB6:AB7"/>
    <mergeCell ref="AB8:AB9"/>
    <mergeCell ref="AB10:AB11"/>
    <mergeCell ref="AB12:AB13"/>
    <mergeCell ref="AS4:AS5"/>
    <mergeCell ref="AT4:AT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U8:U9"/>
    <mergeCell ref="V8:V9"/>
    <mergeCell ref="W8:W9"/>
    <mergeCell ref="X8:X9"/>
    <mergeCell ref="AQ4:AQ5"/>
    <mergeCell ref="AR4:AR5"/>
    <mergeCell ref="AL4:AL5"/>
    <mergeCell ref="I4:I5"/>
    <mergeCell ref="AO4:AO5"/>
    <mergeCell ref="J10:J11"/>
    <mergeCell ref="K10:K11"/>
    <mergeCell ref="L10:L11"/>
    <mergeCell ref="M10:M11"/>
    <mergeCell ref="U10:U11"/>
    <mergeCell ref="V10:V11"/>
    <mergeCell ref="W10:W11"/>
    <mergeCell ref="X10:X11"/>
    <mergeCell ref="Y10:Y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G4:G5"/>
    <mergeCell ref="L4:L5"/>
    <mergeCell ref="A4:A5"/>
    <mergeCell ref="B4:B5"/>
    <mergeCell ref="C4:C5"/>
    <mergeCell ref="D4:D5"/>
    <mergeCell ref="E4:E5"/>
    <mergeCell ref="F4:F5"/>
    <mergeCell ref="H4:H5"/>
    <mergeCell ref="AP4:AP5"/>
    <mergeCell ref="AM4:AM5"/>
    <mergeCell ref="AN4:AN5"/>
    <mergeCell ref="AI4:AI5"/>
    <mergeCell ref="AJ4:AJ5"/>
    <mergeCell ref="AH4:AH5"/>
    <mergeCell ref="AF4:AF5"/>
    <mergeCell ref="AG4:AG5"/>
    <mergeCell ref="I1:M1"/>
    <mergeCell ref="K2:K3"/>
    <mergeCell ref="J2:J3"/>
    <mergeCell ref="M2:M3"/>
    <mergeCell ref="J4:J5"/>
    <mergeCell ref="K4:K5"/>
    <mergeCell ref="Z4:Z5"/>
    <mergeCell ref="Y4:Y5"/>
    <mergeCell ref="L2:L3"/>
    <mergeCell ref="M4:M5"/>
    <mergeCell ref="X4:X5"/>
    <mergeCell ref="I2:I3"/>
    <mergeCell ref="Z2:Z3"/>
    <mergeCell ref="A1:H1"/>
    <mergeCell ref="A2:A3"/>
    <mergeCell ref="B2:B3"/>
    <mergeCell ref="C2:C3"/>
    <mergeCell ref="D2:D3"/>
    <mergeCell ref="E2:E3"/>
    <mergeCell ref="F2:F3"/>
    <mergeCell ref="H2:H3"/>
    <mergeCell ref="G2:G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U6:U7"/>
    <mergeCell ref="V6:V7"/>
    <mergeCell ref="W6:W7"/>
    <mergeCell ref="X6:X7"/>
    <mergeCell ref="Y6:Y7"/>
    <mergeCell ref="AN8:AN9"/>
    <mergeCell ref="AO8:AO9"/>
    <mergeCell ref="AP8:AP9"/>
    <mergeCell ref="AQ8:AQ9"/>
    <mergeCell ref="AR8:AR9"/>
    <mergeCell ref="AS8:AS9"/>
    <mergeCell ref="Z6:Z7"/>
    <mergeCell ref="AC6:AC7"/>
    <mergeCell ref="AF6:AF7"/>
    <mergeCell ref="AG6:AG7"/>
    <mergeCell ref="AH6:AH7"/>
    <mergeCell ref="AI6:AI7"/>
    <mergeCell ref="AJ6:AJ7"/>
    <mergeCell ref="AK6:AK7"/>
    <mergeCell ref="AL6:AL7"/>
    <mergeCell ref="Y8:Y9"/>
    <mergeCell ref="Z8:Z9"/>
    <mergeCell ref="AC8:AC9"/>
    <mergeCell ref="AF8:AF9"/>
    <mergeCell ref="AG8:AG9"/>
    <mergeCell ref="AH8:AH9"/>
    <mergeCell ref="AI8:AI9"/>
    <mergeCell ref="AM8:AM9"/>
    <mergeCell ref="AJ8:AJ9"/>
    <mergeCell ref="AK8:AK9"/>
    <mergeCell ref="AL8:AL9"/>
    <mergeCell ref="AT6:AT7"/>
    <mergeCell ref="AT8:AT9"/>
    <mergeCell ref="AM2:AM3"/>
    <mergeCell ref="AP1:AQ1"/>
    <mergeCell ref="N1:AO1"/>
    <mergeCell ref="AL2:AL3"/>
    <mergeCell ref="AH2:AJ2"/>
    <mergeCell ref="AO2:AO3"/>
    <mergeCell ref="AN2:AN3"/>
    <mergeCell ref="AK2:AK3"/>
    <mergeCell ref="AK4:AK5"/>
    <mergeCell ref="AE2:AG2"/>
    <mergeCell ref="N2:Y2"/>
    <mergeCell ref="U4:U5"/>
    <mergeCell ref="V4:V5"/>
    <mergeCell ref="W4:W5"/>
    <mergeCell ref="AM6:AM7"/>
    <mergeCell ref="AN6:AN7"/>
    <mergeCell ref="AO6:AO7"/>
    <mergeCell ref="AP6:AP7"/>
    <mergeCell ref="AQ6:AQ7"/>
    <mergeCell ref="AR6:AR7"/>
    <mergeCell ref="AS6:AS7"/>
    <mergeCell ref="Z10:Z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C10:AC11"/>
    <mergeCell ref="AO10:AO11"/>
    <mergeCell ref="AP10:AP11"/>
    <mergeCell ref="AQ10:AQ11"/>
    <mergeCell ref="AR10:AR11"/>
    <mergeCell ref="AN10:AN11"/>
    <mergeCell ref="AS10:AS11"/>
    <mergeCell ref="AT10:AT11"/>
    <mergeCell ref="AM10:AM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U12:U13"/>
    <mergeCell ref="V12:V13"/>
    <mergeCell ref="W12:W13"/>
    <mergeCell ref="X12:X13"/>
    <mergeCell ref="Y12:Y13"/>
    <mergeCell ref="Z12:Z13"/>
    <mergeCell ref="AE12:AE13"/>
    <mergeCell ref="AF12:AF13"/>
    <mergeCell ref="AG12:AG13"/>
    <mergeCell ref="AC12:AC13"/>
    <mergeCell ref="AT12:AT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</mergeCells>
  <phoneticPr fontId="1" type="noConversion"/>
  <pageMargins left="0.7" right="0.7" top="0.75" bottom="0.75" header="0.3" footer="0.3"/>
  <pageSetup paperSize="9" scale="10" orientation="portrait" verticalDpi="300" r:id="rId1"/>
  <ignoredErrors>
    <ignoredError sqref="AO3:AP3 AF2:AG2 AI2:AJ2 AO2 AE3 AH3:AJ3 AL3 AE4 AQ3 Y4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A10D-740D-4C2E-8A60-D701C0283912}">
  <dimension ref="A1:B2"/>
  <sheetViews>
    <sheetView workbookViewId="0">
      <selection activeCell="A2" sqref="A2"/>
    </sheetView>
  </sheetViews>
  <sheetFormatPr defaultRowHeight="14.4"/>
  <cols>
    <col min="1" max="1" width="23.5546875" customWidth="1"/>
  </cols>
  <sheetData>
    <row r="1" spans="1:2">
      <c r="A1" t="s">
        <v>67</v>
      </c>
      <c r="B1">
        <v>300</v>
      </c>
    </row>
    <row r="2" spans="1:2">
      <c r="A2" t="s">
        <v>68</v>
      </c>
      <c r="B2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A30A-3898-4FCE-B62B-61CA0A01F01F}">
  <dimension ref="E6:K13"/>
  <sheetViews>
    <sheetView workbookViewId="0">
      <selection activeCell="H9" sqref="H9"/>
    </sheetView>
  </sheetViews>
  <sheetFormatPr defaultRowHeight="14.4"/>
  <sheetData>
    <row r="6" spans="5:11">
      <c r="E6" s="12" t="s">
        <v>51</v>
      </c>
      <c r="F6" s="12" t="s">
        <v>49</v>
      </c>
      <c r="G6" s="12" t="s">
        <v>50</v>
      </c>
      <c r="H6" s="12" t="s">
        <v>44</v>
      </c>
      <c r="I6" s="12" t="s">
        <v>45</v>
      </c>
      <c r="J6" s="12" t="s">
        <v>46</v>
      </c>
      <c r="K6" s="12" t="s">
        <v>47</v>
      </c>
    </row>
    <row r="7" spans="5:11">
      <c r="E7" s="1">
        <v>1</v>
      </c>
      <c r="F7" s="1" t="s">
        <v>43</v>
      </c>
      <c r="G7" s="1" t="s">
        <v>20</v>
      </c>
      <c r="H7" s="1">
        <v>84.1</v>
      </c>
      <c r="I7" s="1">
        <v>64</v>
      </c>
      <c r="J7" s="1">
        <v>135</v>
      </c>
      <c r="K7" s="1">
        <v>18</v>
      </c>
    </row>
    <row r="8" spans="5:11">
      <c r="E8" s="1">
        <v>2</v>
      </c>
      <c r="F8" s="1" t="s">
        <v>43</v>
      </c>
      <c r="G8" s="1" t="s">
        <v>20</v>
      </c>
      <c r="H8" s="1">
        <v>84</v>
      </c>
      <c r="I8" s="1">
        <v>64</v>
      </c>
      <c r="J8" s="1">
        <v>103</v>
      </c>
      <c r="K8" s="1">
        <v>18</v>
      </c>
    </row>
    <row r="9" spans="5:11">
      <c r="E9" s="1">
        <v>3</v>
      </c>
      <c r="F9" s="1" t="s">
        <v>43</v>
      </c>
      <c r="G9" s="1" t="s">
        <v>20</v>
      </c>
      <c r="H9" s="1">
        <v>76.099999999999994</v>
      </c>
      <c r="I9" s="1">
        <v>70.099999999999994</v>
      </c>
      <c r="J9" s="1">
        <v>237</v>
      </c>
      <c r="K9" s="1">
        <v>36</v>
      </c>
    </row>
    <row r="10" spans="5:11">
      <c r="E10" s="1">
        <v>4</v>
      </c>
      <c r="F10" s="1" t="s">
        <v>43</v>
      </c>
      <c r="G10" s="1" t="s">
        <v>20</v>
      </c>
      <c r="H10" s="1">
        <v>70</v>
      </c>
      <c r="I10" s="1">
        <v>33</v>
      </c>
      <c r="J10" s="1">
        <v>62</v>
      </c>
      <c r="K10" s="1">
        <v>18</v>
      </c>
    </row>
    <row r="11" spans="5:11">
      <c r="E11" s="31"/>
      <c r="F11" s="32"/>
      <c r="G11" s="32"/>
      <c r="H11" s="32"/>
      <c r="I11" s="32"/>
      <c r="J11" s="32"/>
      <c r="K11" s="33"/>
    </row>
    <row r="12" spans="5:11">
      <c r="E12" s="12" t="s">
        <v>51</v>
      </c>
      <c r="F12" s="12" t="s">
        <v>49</v>
      </c>
      <c r="G12" s="12" t="s">
        <v>50</v>
      </c>
      <c r="H12" s="12" t="s">
        <v>44</v>
      </c>
      <c r="I12" s="12" t="s">
        <v>45</v>
      </c>
      <c r="J12" s="12" t="s">
        <v>52</v>
      </c>
      <c r="K12" s="12" t="s">
        <v>47</v>
      </c>
    </row>
    <row r="13" spans="5:11">
      <c r="E13" s="1">
        <v>1</v>
      </c>
      <c r="F13" s="1" t="s">
        <v>48</v>
      </c>
      <c r="G13" s="1" t="s">
        <v>20</v>
      </c>
      <c r="H13" s="2">
        <v>190</v>
      </c>
      <c r="I13" s="2">
        <v>60</v>
      </c>
      <c r="J13" s="2">
        <v>18</v>
      </c>
      <c r="K13" s="1">
        <v>32</v>
      </c>
    </row>
  </sheetData>
  <mergeCells count="1">
    <mergeCell ref="E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tube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PRODUCTION13</dc:creator>
  <cp:lastModifiedBy>Santhosh Subramaniam</cp:lastModifiedBy>
  <cp:lastPrinted>2026-09-11T04:38:12Z</cp:lastPrinted>
  <dcterms:created xsi:type="dcterms:W3CDTF">2025-06-26T08:33:13Z</dcterms:created>
  <dcterms:modified xsi:type="dcterms:W3CDTF">2026-09-23T10:12:49Z</dcterms:modified>
</cp:coreProperties>
</file>